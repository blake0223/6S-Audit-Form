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6S Overview" sheetId="2" state="visible" r:id="rId2"/>
    <sheet name="ROOM TEMPLATE" sheetId="3" state="visible" r:id="rId3"/>
    <sheet name="Example - Warehouse" sheetId="4" state="visible" r:id="rId4"/>
    <sheet name="Facility Summary" sheetId="5" state="visible" r:id="rId5"/>
  </sheets>
  <definedNames>
    <definedName name="_xlnm.Print_Area" localSheetId="0">'Start Here'!$A$1:$C$17</definedName>
    <definedName name="_xlnm.Print_Area" localSheetId="1">'6S Overview'!$A$1:$C$8</definedName>
    <definedName name="_xlnm.Print_Titles" localSheetId="2">'ROOM TEMPLATE'!$1:$7</definedName>
    <definedName name="_xlnm.Print_Area" localSheetId="2">'ROOM TEMPLATE'!$A$1:$E$51</definedName>
    <definedName name="_xlnm.Print_Titles" localSheetId="3">'Example - Warehouse'!$1:$7</definedName>
    <definedName name="_xlnm.Print_Area" localSheetId="3">'Example - Warehouse'!$A$1:$E$51</definedName>
    <definedName name="_xlnm.Print_Area" localSheetId="4">'Facility Summary'!$A$1:$E$22</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6"/>
    </font>
    <font>
      <name val="Arial"/>
      <b val="1"/>
      <color rgb="00111827"/>
      <sz val="12"/>
    </font>
    <font>
      <name val="Arial"/>
      <color rgb="00111827"/>
      <sz val="12"/>
    </font>
    <font>
      <name val="Arial"/>
      <color rgb="00111827"/>
      <sz val="10"/>
    </font>
    <font>
      <name val="Arial"/>
      <i val="1"/>
      <color rgb="009CA3AF"/>
      <sz val="11"/>
    </font>
    <font>
      <name val="Arial"/>
      <b val="1"/>
      <color rgb="00111827"/>
      <sz val="11"/>
    </font>
    <font>
      <name val="Arial"/>
      <b val="1"/>
      <color rgb="00FFFFFF"/>
      <sz val="12"/>
    </font>
    <font>
      <name val="Arial"/>
      <b val="1"/>
      <color rgb="00111827"/>
      <sz val="10"/>
    </font>
    <font>
      <name val="Arial"/>
      <b val="1"/>
      <color rgb="00FFFFFF"/>
      <sz val="15"/>
    </font>
    <font>
      <name val="Arial"/>
      <i val="1"/>
      <color rgb="00374151"/>
      <sz val="9"/>
    </font>
    <font>
      <name val="Arial"/>
      <b val="1"/>
      <color rgb="00FFFFFF"/>
      <sz val="9"/>
    </font>
    <font>
      <name val="Arial"/>
      <color rgb="00111827"/>
      <sz val="9"/>
    </font>
    <font>
      <name val="Arial"/>
      <color rgb="009CA3AF"/>
      <sz val="9"/>
    </font>
    <font>
      <name val="Arial"/>
      <i val="1"/>
      <color rgb="009CA3AF"/>
      <sz val="9"/>
    </font>
    <font>
      <name val="Arial"/>
      <b val="1"/>
      <color rgb="00FFFFFF"/>
      <sz val="10"/>
    </font>
  </fonts>
  <fills count="9">
    <fill>
      <patternFill/>
    </fill>
    <fill>
      <patternFill patternType="gray125"/>
    </fill>
    <fill>
      <patternFill patternType="solid">
        <fgColor rgb="001F2A37"/>
      </patternFill>
    </fill>
    <fill>
      <patternFill patternType="solid">
        <fgColor rgb="00FEF9C3"/>
      </patternFill>
    </fill>
    <fill>
      <patternFill patternType="solid">
        <fgColor rgb="00FFFFFF"/>
      </patternFill>
    </fill>
    <fill>
      <patternFill patternType="solid">
        <fgColor rgb="00374151"/>
      </patternFill>
    </fill>
    <fill>
      <patternFill patternType="solid">
        <fgColor rgb="00E5E7EB"/>
      </patternFill>
    </fill>
    <fill>
      <patternFill patternType="solid">
        <fgColor rgb="00F3F4F6"/>
      </patternFill>
    </fill>
    <fill>
      <patternFill patternType="solid">
        <fgColor rgb="00FAFAFA"/>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right" vertical="center"/>
    </xf>
    <xf numFmtId="0" fontId="5" fillId="3" borderId="1" applyAlignment="1" pivotButton="0" quotePrefix="0" xfId="0">
      <alignment horizontal="left" vertical="center"/>
    </xf>
    <xf numFmtId="0" fontId="6" fillId="0" borderId="0" applyAlignment="1" pivotButton="0" quotePrefix="0" xfId="0">
      <alignment horizontal="right" vertical="center"/>
    </xf>
    <xf numFmtId="0" fontId="4" fillId="4" borderId="1" applyAlignment="1" pivotButton="0" quotePrefix="0" xfId="0">
      <alignment horizontal="left" vertical="center"/>
    </xf>
    <xf numFmtId="0" fontId="7" fillId="5" borderId="0" applyAlignment="1" pivotButton="0" quotePrefix="0" xfId="0">
      <alignment horizontal="left" vertical="center"/>
    </xf>
    <xf numFmtId="0" fontId="8" fillId="0" borderId="0" applyAlignment="1" pivotButton="0" quotePrefix="0" xfId="0">
      <alignment horizontal="left" vertical="top" wrapText="1"/>
    </xf>
    <xf numFmtId="0" fontId="4" fillId="0" borderId="0" applyAlignment="1" pivotButton="0" quotePrefix="0" xfId="0">
      <alignment horizontal="left" vertical="top" wrapText="1"/>
    </xf>
    <xf numFmtId="0" fontId="6" fillId="6" borderId="1" applyAlignment="1" pivotButton="0" quotePrefix="0" xfId="0">
      <alignment horizontal="left" vertical="top"/>
    </xf>
    <xf numFmtId="0" fontId="4" fillId="0" borderId="1" applyAlignment="1" pivotButton="0" quotePrefix="0" xfId="0">
      <alignment horizontal="left" vertical="top" wrapText="1"/>
    </xf>
    <xf numFmtId="0" fontId="9" fillId="2" borderId="0" applyAlignment="1" pivotButton="0" quotePrefix="0" xfId="0">
      <alignment horizontal="center" vertical="center"/>
    </xf>
    <xf numFmtId="0" fontId="10" fillId="7" borderId="0" applyAlignment="1" pivotButton="0" quotePrefix="0" xfId="0">
      <alignment horizontal="center" vertical="center"/>
    </xf>
    <xf numFmtId="0" fontId="8" fillId="0" borderId="0" applyAlignment="1" pivotButton="0" quotePrefix="0" xfId="0">
      <alignment horizontal="right" vertical="center"/>
    </xf>
    <xf numFmtId="0" fontId="4" fillId="3" borderId="1" applyAlignment="1" pivotButton="0" quotePrefix="0" xfId="0">
      <alignment horizontal="left" vertical="center"/>
    </xf>
    <xf numFmtId="0" fontId="11" fillId="5" borderId="1" applyAlignment="1" pivotButton="0" quotePrefix="0" xfId="0">
      <alignment horizontal="center" vertical="center"/>
    </xf>
    <xf numFmtId="0" fontId="2" fillId="7" borderId="1" applyAlignment="1" pivotButton="0" quotePrefix="0" xfId="0">
      <alignment horizontal="center" vertical="center"/>
    </xf>
    <xf numFmtId="0" fontId="11" fillId="5" borderId="1" applyAlignment="1" pivotButton="0" quotePrefix="0" xfId="0">
      <alignment horizontal="center" vertical="center" wrapText="1"/>
    </xf>
    <xf numFmtId="0" fontId="8" fillId="6" borderId="0" applyAlignment="1" pivotButton="0" quotePrefix="0" xfId="0">
      <alignment horizontal="left" vertical="center"/>
    </xf>
    <xf numFmtId="0" fontId="12" fillId="0" borderId="1" applyAlignment="1" pivotButton="0" quotePrefix="0" xfId="0">
      <alignment horizontal="center" vertical="center"/>
    </xf>
    <xf numFmtId="0" fontId="12" fillId="0" borderId="1" applyAlignment="1" pivotButton="0" quotePrefix="0" xfId="0">
      <alignment horizontal="left" vertical="top" wrapText="1"/>
    </xf>
    <xf numFmtId="0" fontId="4" fillId="4" borderId="1" applyAlignment="1" pivotButton="0" quotePrefix="0" xfId="0">
      <alignment horizontal="center" vertical="center"/>
    </xf>
    <xf numFmtId="0" fontId="4" fillId="4" borderId="1" applyAlignment="1" pivotButton="0" quotePrefix="0" xfId="0">
      <alignment horizontal="left" vertical="top" wrapText="1"/>
    </xf>
    <xf numFmtId="0" fontId="13" fillId="8" borderId="1" applyAlignment="1" pivotButton="0" quotePrefix="0" xfId="0">
      <alignment horizontal="center" vertical="center"/>
    </xf>
    <xf numFmtId="0" fontId="14" fillId="8" borderId="1" applyAlignment="1" pivotButton="0" quotePrefix="0" xfId="0">
      <alignment horizontal="left" vertical="top" wrapText="1"/>
    </xf>
    <xf numFmtId="0" fontId="12" fillId="8" borderId="1" applyAlignment="1" pivotButton="0" quotePrefix="0" xfId="0">
      <alignment horizontal="left" vertical="top" wrapText="1"/>
    </xf>
    <xf numFmtId="0" fontId="4" fillId="0" borderId="1" applyAlignment="1" pivotButton="0" quotePrefix="0" xfId="0">
      <alignment horizontal="left" vertical="center"/>
    </xf>
    <xf numFmtId="0" fontId="15" fillId="5"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C17"/>
  <sheetViews>
    <sheetView showGridLines="0" workbookViewId="0">
      <selection activeCell="A1" sqref="A1"/>
    </sheetView>
  </sheetViews>
  <sheetFormatPr baseColWidth="8" defaultRowHeight="15"/>
  <cols>
    <col width="3" customWidth="1" min="1" max="1"/>
    <col width="30" customWidth="1" min="2" max="2"/>
    <col width="78" customWidth="1" min="3" max="3"/>
  </cols>
  <sheetData>
    <row r="1" ht="30" customHeight="1">
      <c r="B1" s="1" t="inlineStr">
        <is>
          <t>6S PROGRAM — LOCATION AUDIT TEMPLATE</t>
        </is>
      </c>
    </row>
    <row r="3">
      <c r="B3" s="2" t="inlineStr">
        <is>
          <t>Location:</t>
        </is>
      </c>
      <c r="C3" s="3" t="inlineStr">
        <is>
          <t>[ Type your location / facility name here ]</t>
        </is>
      </c>
    </row>
    <row r="4">
      <c r="B4" s="4" t="inlineStr">
        <is>
          <t>Warehouse Lead:</t>
        </is>
      </c>
      <c r="C4" s="5" t="n"/>
    </row>
    <row r="5">
      <c r="B5" s="4" t="inlineStr">
        <is>
          <t>Audit Period / Year:</t>
        </is>
      </c>
      <c r="C5" s="5" t="n"/>
    </row>
    <row r="7" ht="20" customHeight="1">
      <c r="B7" s="6" t="inlineStr">
        <is>
          <t>HOW TO USE THIS TEMPLATE</t>
        </is>
      </c>
    </row>
    <row r="8" ht="32" customHeight="1">
      <c r="B8" s="7" t="inlineStr">
        <is>
          <t>1. Set your location</t>
        </is>
      </c>
      <c r="C8" s="8" t="inlineStr">
        <is>
          <t>Type your facility name in the yellow Location cell above. It flows automatically into every room form.</t>
        </is>
      </c>
    </row>
    <row r="9" ht="32" customHeight="1">
      <c r="B9" s="7" t="inlineStr">
        <is>
          <t>2. Add a room</t>
        </is>
      </c>
      <c r="C9" s="8" t="inlineStr">
        <is>
          <t>Right-click the ROOM TEMPLATE tab → Duplicate. Rename the copy to the room (e.g. “Parts Room”). Repeat for every area you audit.</t>
        </is>
      </c>
    </row>
    <row r="10" ht="32" customHeight="1">
      <c r="B10" s="7" t="inlineStr">
        <is>
          <t>3. Name the room</t>
        </is>
      </c>
      <c r="C10" s="8" t="inlineStr">
        <is>
          <t>On each room form, type the room name in the yellow “Room / Area” cell.</t>
        </is>
      </c>
    </row>
    <row r="11" ht="32" customHeight="1">
      <c r="B11" s="7" t="inlineStr">
        <is>
          <t>4. Add custom checks</t>
        </is>
      </c>
      <c r="C11" s="8" t="inlineStr">
        <is>
          <t>Each form has the 26 standard 6S items plus blank custom rows under every category — add room-specific checks there (e.g. refrigerant cylinder storage, rack bay labels).</t>
        </is>
      </c>
    </row>
    <row r="12" ht="32" customHeight="1">
      <c r="B12" s="7" t="inlineStr">
        <is>
          <t>5. Print blank forms (PDF)</t>
        </is>
      </c>
      <c r="C12" s="8" t="inlineStr">
        <is>
          <t>File → Print → set “Current sheet”, Portrait, Scale = Fit to width → Next → Save as PDF. Print and fill by hand during the walk-through.</t>
        </is>
      </c>
    </row>
    <row r="13" ht="32" customHeight="1">
      <c r="B13" s="7" t="inlineStr">
        <is>
          <t>6. Score &amp; roll up</t>
        </is>
      </c>
      <c r="C13" s="8" t="inlineStr">
        <is>
          <t>Scores can be filled by hand on paper, or typed into the Score column to auto-calculate Total / % / PASS-FAIL. Record each room's result on the Facility Summary tab.</t>
        </is>
      </c>
    </row>
    <row r="14" ht="20" customHeight="1">
      <c r="B14" s="6" t="inlineStr">
        <is>
          <t>SCORING</t>
        </is>
      </c>
    </row>
    <row r="15" ht="32" customHeight="1">
      <c r="B15" s="7" t="inlineStr">
        <is>
          <t>Scale</t>
        </is>
      </c>
      <c r="C15" s="8" t="inlineStr">
        <is>
          <t>0 = Major Issue   |   1 = Needs Work   |   2 = Good   |   3 = Excellent. Comment required for any score below 2.</t>
        </is>
      </c>
    </row>
    <row r="16" ht="32" customHeight="1">
      <c r="B16" s="7" t="inlineStr">
        <is>
          <t>Pass rule</t>
        </is>
      </c>
      <c r="C16" s="8" t="inlineStr">
        <is>
          <t>Score ≥ 67% of the maximum AND no zeros on any item. Any Safety item scored 0 must be escalated to management the same day.</t>
        </is>
      </c>
    </row>
    <row r="17" ht="32" customHeight="1">
      <c r="B17" s="7" t="inlineStr">
        <is>
          <t>Frequency</t>
        </is>
      </c>
      <c r="C17" s="8" t="inlineStr">
        <is>
          <t>Audit 1–2 rooms per week so every room is graded monthly. Run a facility-wide review monthly or quarterly.</t>
        </is>
      </c>
    </row>
  </sheetData>
  <mergeCells count="3">
    <mergeCell ref="B1:C1"/>
    <mergeCell ref="B14:C14"/>
    <mergeCell ref="B7:C7"/>
  </mergeCells>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B1:C8"/>
  <sheetViews>
    <sheetView showGridLines="0" workbookViewId="0">
      <selection activeCell="A1" sqref="A1"/>
    </sheetView>
  </sheetViews>
  <sheetFormatPr baseColWidth="8" defaultRowHeight="15"/>
  <cols>
    <col width="3" customWidth="1" min="1" max="1"/>
    <col width="22" customWidth="1" min="2" max="2"/>
    <col width="92" customWidth="1" min="3" max="3"/>
  </cols>
  <sheetData>
    <row r="1" ht="28" customHeight="1">
      <c r="B1" s="1" t="inlineStr">
        <is>
          <t>THE SIX S's</t>
        </is>
      </c>
    </row>
    <row r="3" ht="40" customHeight="1">
      <c r="B3" s="9" t="inlineStr">
        <is>
          <t>1.  Sort</t>
        </is>
      </c>
      <c r="C3" s="10" t="inlineStr">
        <is>
          <t>Go through everything in the area and keep only what you actually use. Remove broken tools, expired supplies, and clutter.</t>
        </is>
      </c>
    </row>
    <row r="4" ht="40" customHeight="1">
      <c r="B4" s="9" t="inlineStr">
        <is>
          <t>2.  Set in Order</t>
        </is>
      </c>
      <c r="C4" s="10" t="inlineStr">
        <is>
          <t>Give everything a clear, logical home. The things you use most should be easiest to reach. Label locations so anyone can find — and return — an item.</t>
        </is>
      </c>
    </row>
    <row r="5" ht="40" customHeight="1">
      <c r="B5" s="9" t="inlineStr">
        <is>
          <t>3.  Shine</t>
        </is>
      </c>
      <c r="C5" s="10" t="inlineStr">
        <is>
          <t>Clean the area and the equipment. A clean station makes it obvious when something is missing, leaking, or out of place.</t>
        </is>
      </c>
    </row>
    <row r="6" ht="40" customHeight="1">
      <c r="B6" s="9" t="inlineStr">
        <is>
          <t>4.  Standardize</t>
        </is>
      </c>
      <c r="C6" s="10" t="inlineStr">
        <is>
          <t>Make the setup consistent. Use labels, shadow outlines, signs, or a simple checklist so the “right” way is obvious and repeatable.</t>
        </is>
      </c>
    </row>
    <row r="7" ht="40" customHeight="1">
      <c r="B7" s="9" t="inlineStr">
        <is>
          <t>5.  Sustain</t>
        </is>
      </c>
      <c r="C7" s="10" t="inlineStr">
        <is>
          <t>Keep it up. Quick daily resets and the occasional check-in keep the area from sliding back.</t>
        </is>
      </c>
    </row>
    <row r="8" ht="40" customHeight="1">
      <c r="B8" s="9" t="inlineStr">
        <is>
          <t>6.  Safety</t>
        </is>
      </c>
      <c r="C8" s="10" t="inlineStr">
        <is>
          <t>Build safety into the setup. Keep walkways and exits clear, store heavy or sharp items properly, keep PPE stocked, and fix or flag any hazard immediately.</t>
        </is>
      </c>
    </row>
  </sheetData>
  <mergeCells count="1">
    <mergeCell ref="B1:C1"/>
  </mergeCells>
  <pageMargins left="0.75" right="0.75" top="1" bottom="1" header="0.5" footer="0.5"/>
  <pageSetup orientation="portrait" fitToWidth="1"/>
</worksheet>
</file>

<file path=xl/worksheets/sheet3.xml><?xml version="1.0" encoding="utf-8"?>
<worksheet xmlns="http://schemas.openxmlformats.org/spreadsheetml/2006/main">
  <sheetPr>
    <outlinePr summaryBelow="1" summaryRight="1"/>
    <pageSetUpPr fitToPage="1"/>
  </sheetPr>
  <dimension ref="A1:E51"/>
  <sheetViews>
    <sheetView showGridLines="0" workbookViewId="0">
      <selection activeCell="A1" sqref="A1"/>
    </sheetView>
  </sheetViews>
  <sheetFormatPr baseColWidth="8" defaultRowHeight="15"/>
  <cols>
    <col width="5" customWidth="1" min="1" max="1"/>
    <col width="24" customWidth="1" min="2" max="2"/>
    <col width="64" customWidth="1" min="3" max="3"/>
    <col width="11" customWidth="1" min="4" max="4"/>
    <col width="40" customWidth="1" min="5" max="5"/>
  </cols>
  <sheetData>
    <row r="1" ht="26" customHeight="1">
      <c r="A1" s="11" t="inlineStr">
        <is>
          <t>6S + SAFETY AUDIT  ·  WORKSHEET</t>
        </is>
      </c>
    </row>
    <row r="2" ht="18" customHeight="1">
      <c r="A2" s="12" t="inlineStr">
        <is>
          <t>0 = Major Issue      1 = Needs Work      2 = Good      3 = Excellent      |      Comment required for any score below 2</t>
        </is>
      </c>
    </row>
    <row r="3">
      <c r="A3" s="13" t="inlineStr">
        <is>
          <t>Location:</t>
        </is>
      </c>
      <c r="B3" s="5">
        <f>'Start Here'!$B$3</f>
        <v/>
      </c>
      <c r="D3" s="13" t="inlineStr">
        <is>
          <t>Date:</t>
        </is>
      </c>
      <c r="E3" s="5" t="n"/>
    </row>
    <row r="4">
      <c r="A4" s="13" t="inlineStr">
        <is>
          <t>Room / Area:</t>
        </is>
      </c>
      <c r="B4" s="14" t="n"/>
      <c r="D4" s="13" t="inlineStr">
        <is>
          <t>Auditor:</t>
        </is>
      </c>
      <c r="E4" s="5" t="n"/>
    </row>
    <row r="5" ht="16" customHeight="1">
      <c r="A5" s="15" t="inlineStr">
        <is>
          <t>Total Score</t>
        </is>
      </c>
      <c r="B5" s="15" t="inlineStr">
        <is>
          <t>Max Possible</t>
        </is>
      </c>
      <c r="C5" s="15" t="inlineStr">
        <is>
          <t>Score %</t>
        </is>
      </c>
      <c r="D5" s="15" t="inlineStr">
        <is>
          <t># of Zeros</t>
        </is>
      </c>
      <c r="E5" s="15" t="inlineStr">
        <is>
          <t>RESULT</t>
        </is>
      </c>
    </row>
    <row r="6">
      <c r="A6" s="16">
        <f>SUM(D9:D51)</f>
        <v/>
      </c>
      <c r="B6" s="16">
        <f>COUNT(D9:D51)*3</f>
        <v/>
      </c>
      <c r="C6" s="16">
        <f>IF(COUNT(D9:D51)=0,"",ROUND(SUM(D9:D51)/(COUNT(D9:D51)*3)*100,1))</f>
        <v/>
      </c>
      <c r="D6" s="16">
        <f>COUNTIF(D9:D51,0)</f>
        <v/>
      </c>
      <c r="E6" s="16">
        <f>IF(COUNT(D9:D51)=0,"",IF(AND(SUM(D9:D51)/(COUNT(D9:D51)*3)*100&gt;=67,COUNTIF(D9:D51,0)=0),"✔ PASS","✘ FAIL"))</f>
        <v/>
      </c>
    </row>
    <row r="7" ht="28" customHeight="1">
      <c r="A7" s="17" t="inlineStr">
        <is>
          <t>No.</t>
        </is>
      </c>
      <c r="B7" s="17" t="inlineStr">
        <is>
          <t>Check Item</t>
        </is>
      </c>
      <c r="C7" s="17" t="inlineStr">
        <is>
          <t>Description / Audit Question</t>
        </is>
      </c>
      <c r="D7" s="17" t="inlineStr">
        <is>
          <t>Total Score
(0–3)</t>
        </is>
      </c>
      <c r="E7" s="17" t="inlineStr">
        <is>
          <t>Comments  (required if score &lt; 2)</t>
        </is>
      </c>
    </row>
    <row r="8" ht="18" customHeight="1">
      <c r="A8" s="18" t="inlineStr">
        <is>
          <t>◆  SORT</t>
        </is>
      </c>
    </row>
    <row r="9" ht="30" customHeight="1">
      <c r="A9" s="19" t="inlineStr">
        <is>
          <t>1.0</t>
        </is>
      </c>
      <c r="B9" s="20" t="inlineStr">
        <is>
          <t>Necessary Items Only</t>
        </is>
      </c>
      <c r="C9" s="20" t="inlineStr">
        <is>
          <t>Is the area free of obsolete, expired, surplus, damaged, or unidentifiable materials, parts, and product?</t>
        </is>
      </c>
      <c r="D9" s="21" t="n"/>
      <c r="E9" s="22" t="n"/>
    </row>
    <row r="10" ht="30" customHeight="1">
      <c r="A10" s="19" t="inlineStr">
        <is>
          <t>2.0</t>
        </is>
      </c>
      <c r="B10" s="20" t="inlineStr">
        <is>
          <t>Personal Belongings</t>
        </is>
      </c>
      <c r="C10" s="20" t="inlineStr">
        <is>
          <t>Are personal belongings (clothing, bags, appliances, decorative items) absent from the work area?</t>
        </is>
      </c>
      <c r="D10" s="21" t="n"/>
      <c r="E10" s="22" t="n"/>
    </row>
    <row r="11" ht="30" customHeight="1">
      <c r="A11" s="19" t="inlineStr">
        <is>
          <t>3.0</t>
        </is>
      </c>
      <c r="B11" s="20" t="inlineStr">
        <is>
          <t>Non-Area Items</t>
        </is>
      </c>
      <c r="C11" s="20" t="inlineStr">
        <is>
          <t>Is the area free of items that don't belong — scrap in wrong zones, furniture, unrelated equipment?</t>
        </is>
      </c>
      <c r="D11" s="21" t="n"/>
      <c r="E11" s="22" t="n"/>
    </row>
    <row r="12" ht="30" customHeight="1">
      <c r="A12" s="19" t="inlineStr">
        <is>
          <t>4.0</t>
        </is>
      </c>
      <c r="B12" s="20" t="inlineStr">
        <is>
          <t>Hazardous / Special Items</t>
        </is>
      </c>
      <c r="C12" s="20" t="inlineStr">
        <is>
          <t>Are combustible equipment, unsecured gas cylinders, and damaged materials removed or properly designated?</t>
        </is>
      </c>
      <c r="D12" s="21" t="n"/>
      <c r="E12" s="22" t="n"/>
    </row>
    <row r="13" ht="28" customHeight="1">
      <c r="A13" s="23" t="inlineStr">
        <is>
          <t>5.0</t>
        </is>
      </c>
      <c r="B13" s="24" t="n"/>
      <c r="C13" s="24" t="inlineStr">
        <is>
          <t>↳  Add a room-specific item for this category (optional)</t>
        </is>
      </c>
      <c r="D13" s="21" t="n"/>
      <c r="E13" s="22" t="n"/>
    </row>
    <row r="14" ht="28" customHeight="1">
      <c r="A14" s="23" t="inlineStr">
        <is>
          <t>6.0</t>
        </is>
      </c>
      <c r="B14" s="24" t="n"/>
      <c r="C14" s="24" t="inlineStr">
        <is>
          <t>↳  Add a room-specific item for this category (optional)</t>
        </is>
      </c>
      <c r="D14" s="21" t="n"/>
      <c r="E14" s="22" t="n"/>
    </row>
    <row r="15" ht="18" customHeight="1">
      <c r="A15" s="18" t="inlineStr">
        <is>
          <t>◆  SET IN ORDER</t>
        </is>
      </c>
    </row>
    <row r="16" ht="30" customHeight="1">
      <c r="A16" s="19" t="inlineStr">
        <is>
          <t>7.0</t>
        </is>
      </c>
      <c r="B16" s="20" t="inlineStr">
        <is>
          <t>Location Labels</t>
        </is>
      </c>
      <c r="C16" s="20" t="inlineStr">
        <is>
          <t>Do all storage locations (shelves, bins, rack bays, zones) have clear, consistent, readable labels?</t>
        </is>
      </c>
      <c r="D16" s="21" t="n"/>
      <c r="E16" s="22" t="n"/>
    </row>
    <row r="17" ht="30" customHeight="1">
      <c r="A17" s="19" t="inlineStr">
        <is>
          <t>8.0</t>
        </is>
      </c>
      <c r="B17" s="20" t="inlineStr">
        <is>
          <t>Items in Correct Location</t>
        </is>
      </c>
      <c r="C17" s="20" t="inlineStr">
        <is>
          <t>Are all items stored in their labeled designated location — nothing ad-hoc or on the floor without reason?</t>
        </is>
      </c>
      <c r="D17" s="21" t="n"/>
      <c r="E17" s="22" t="n"/>
    </row>
    <row r="18" ht="30" customHeight="1">
      <c r="A18" s="19" t="inlineStr">
        <is>
          <t>9.0</t>
        </is>
      </c>
      <c r="B18" s="20" t="inlineStr">
        <is>
          <t>Aisle &amp; Floor Clearance</t>
        </is>
      </c>
      <c r="C18" s="20" t="inlineStr">
        <is>
          <t>Are all aisles, pedestrian lanes, and floor areas clear — nothing blocking traffic flow or emergency egress?</t>
        </is>
      </c>
      <c r="D18" s="21" t="n"/>
      <c r="E18" s="22" t="n"/>
    </row>
    <row r="19" ht="30" customHeight="1">
      <c r="A19" s="19" t="inlineStr">
        <is>
          <t>10.0</t>
        </is>
      </c>
      <c r="B19" s="20" t="inlineStr">
        <is>
          <t>Equipment Parking</t>
        </is>
      </c>
      <c r="C19" s="20" t="inlineStr">
        <is>
          <t>Does all material-handling equipment (pallet jack, hand truck, ladders) have a designated home and is it stored there?</t>
        </is>
      </c>
      <c r="D19" s="21" t="n"/>
      <c r="E19" s="22" t="n"/>
    </row>
    <row r="20" ht="30" customHeight="1">
      <c r="A20" s="19" t="inlineStr">
        <is>
          <t>11.0</t>
        </is>
      </c>
      <c r="B20" s="20" t="inlineStr">
        <is>
          <t>Zone Definition</t>
        </is>
      </c>
      <c r="C20" s="20" t="inlineStr">
        <is>
          <t>Are distinct operational zones (staging, receiving, shipping, storage) clearly defined and marked?</t>
        </is>
      </c>
      <c r="D20" s="21" t="n"/>
      <c r="E20" s="22" t="n"/>
    </row>
    <row r="21" ht="28" customHeight="1">
      <c r="A21" s="23" t="inlineStr">
        <is>
          <t>12.0</t>
        </is>
      </c>
      <c r="B21" s="24" t="n"/>
      <c r="C21" s="24" t="inlineStr">
        <is>
          <t>↳  Add a room-specific item for this category (optional)</t>
        </is>
      </c>
      <c r="D21" s="21" t="n"/>
      <c r="E21" s="22" t="n"/>
    </row>
    <row r="22" ht="28" customHeight="1">
      <c r="A22" s="23" t="inlineStr">
        <is>
          <t>13.0</t>
        </is>
      </c>
      <c r="B22" s="24" t="n"/>
      <c r="C22" s="24" t="inlineStr">
        <is>
          <t>↳  Add a room-specific item for this category (optional)</t>
        </is>
      </c>
      <c r="D22" s="21" t="n"/>
      <c r="E22" s="22" t="n"/>
    </row>
    <row r="23" ht="18" customHeight="1">
      <c r="A23" s="18" t="inlineStr">
        <is>
          <t>◆  SHINE</t>
        </is>
      </c>
    </row>
    <row r="24" ht="30" customHeight="1">
      <c r="A24" s="19" t="inlineStr">
        <is>
          <t>14.0</t>
        </is>
      </c>
      <c r="B24" s="20" t="inlineStr">
        <is>
          <t>Floor Cleanliness</t>
        </is>
      </c>
      <c r="C24" s="20" t="inlineStr">
        <is>
          <t>Are all floors clean and free of debris, dust, shavings, scraps, cardboard, and staining?</t>
        </is>
      </c>
      <c r="D24" s="21" t="n"/>
      <c r="E24" s="22" t="n"/>
    </row>
    <row r="25" ht="30" customHeight="1">
      <c r="A25" s="19" t="inlineStr">
        <is>
          <t>15.0</t>
        </is>
      </c>
      <c r="B25" s="20" t="inlineStr">
        <is>
          <t>Surfaces &amp; Equipment</t>
        </is>
      </c>
      <c r="C25" s="20" t="inlineStr">
        <is>
          <t>Are shelving, work surfaces, bins, machines, and rack uprights clean and free of grime, dust, and oil?</t>
        </is>
      </c>
      <c r="D25" s="21" t="n"/>
      <c r="E25" s="22" t="n"/>
    </row>
    <row r="26" ht="30" customHeight="1">
      <c r="A26" s="19" t="inlineStr">
        <is>
          <t>16.0</t>
        </is>
      </c>
      <c r="B26" s="20" t="inlineStr">
        <is>
          <t>Waste &amp; Cardboard Disposal</t>
        </is>
      </c>
      <c r="C26" s="20" t="inlineStr">
        <is>
          <t>Is waste disposed of promptly — bins not overflowing, cardboard broken down, packaging cleared daily?</t>
        </is>
      </c>
      <c r="D26" s="21" t="n"/>
      <c r="E26" s="22" t="n"/>
    </row>
    <row r="27" ht="30" customHeight="1">
      <c r="A27" s="19" t="inlineStr">
        <is>
          <t>17.0</t>
        </is>
      </c>
      <c r="B27" s="20" t="inlineStr">
        <is>
          <t>Facility Condition</t>
        </is>
      </c>
      <c r="C27" s="20" t="inlineStr">
        <is>
          <t>Are facilities in good condition — no damaged shelving, burned-out lights, water stains, or exposed wiring?</t>
        </is>
      </c>
      <c r="D27" s="21" t="n"/>
      <c r="E27" s="22" t="n"/>
    </row>
    <row r="28" ht="28" customHeight="1">
      <c r="A28" s="23" t="inlineStr">
        <is>
          <t>18.0</t>
        </is>
      </c>
      <c r="B28" s="24" t="n"/>
      <c r="C28" s="24" t="inlineStr">
        <is>
          <t>↳  Add a room-specific item for this category (optional)</t>
        </is>
      </c>
      <c r="D28" s="21" t="n"/>
      <c r="E28" s="22" t="n"/>
    </row>
    <row r="29" ht="28" customHeight="1">
      <c r="A29" s="23" t="inlineStr">
        <is>
          <t>19.0</t>
        </is>
      </c>
      <c r="B29" s="24" t="n"/>
      <c r="C29" s="24" t="inlineStr">
        <is>
          <t>↳  Add a room-specific item for this category (optional)</t>
        </is>
      </c>
      <c r="D29" s="21" t="n"/>
      <c r="E29" s="22" t="n"/>
    </row>
    <row r="30" ht="18" customHeight="1">
      <c r="A30" s="18" t="inlineStr">
        <is>
          <t>◆  STANDARDIZE</t>
        </is>
      </c>
    </row>
    <row r="31" ht="30" customHeight="1">
      <c r="A31" s="19" t="inlineStr">
        <is>
          <t>20.0</t>
        </is>
      </c>
      <c r="B31" s="20" t="inlineStr">
        <is>
          <t>RACI Posted</t>
        </is>
      </c>
      <c r="C31" s="20" t="inlineStr">
        <is>
          <t>Is a current 6S RACI chart clearly posted in the area, identifying the responsible party for each S-category?</t>
        </is>
      </c>
      <c r="D31" s="21" t="n"/>
      <c r="E31" s="22" t="n"/>
    </row>
    <row r="32" ht="30" customHeight="1">
      <c r="A32" s="19" t="inlineStr">
        <is>
          <t>21.0</t>
        </is>
      </c>
      <c r="B32" s="20" t="inlineStr">
        <is>
          <t>Visual Layout / Zone Map</t>
        </is>
      </c>
      <c r="C32" s="20" t="inlineStr">
        <is>
          <t>Is a visual layout or zone map posted showing the correct 6S organization?</t>
        </is>
      </c>
      <c r="D32" s="21" t="n"/>
      <c r="E32" s="22" t="n"/>
    </row>
    <row r="33" ht="30" customHeight="1">
      <c r="A33" s="19" t="inlineStr">
        <is>
          <t>22.0</t>
        </is>
      </c>
      <c r="B33" s="20" t="inlineStr">
        <is>
          <t>Min / Max Inventory Levels</t>
        </is>
      </c>
      <c r="C33" s="20" t="inlineStr">
        <is>
          <t>Are minimum and maximum stock levels indicated for key inventory where applicable?</t>
        </is>
      </c>
      <c r="D33" s="21" t="n"/>
      <c r="E33" s="22" t="n"/>
    </row>
    <row r="34" ht="30" customHeight="1">
      <c r="A34" s="19" t="inlineStr">
        <is>
          <t>23.0</t>
        </is>
      </c>
      <c r="B34" s="20" t="inlineStr">
        <is>
          <t>Label Consistency</t>
        </is>
      </c>
      <c r="C34" s="20" t="inlineStr">
        <is>
          <t>Is the labeling system consistent — matching format, font, and location-coding standard?</t>
        </is>
      </c>
      <c r="D34" s="21" t="n"/>
      <c r="E34" s="22" t="n"/>
    </row>
    <row r="35" ht="30" customHeight="1">
      <c r="A35" s="19" t="inlineStr">
        <is>
          <t>24.0</t>
        </is>
      </c>
      <c r="B35" s="20" t="inlineStr">
        <is>
          <t>SOPs &amp; Work References</t>
        </is>
      </c>
      <c r="C35" s="20" t="inlineStr">
        <is>
          <t>Are SOPs, machine instructions, and work references posted at the point of use?</t>
        </is>
      </c>
      <c r="D35" s="21" t="n"/>
      <c r="E35" s="22" t="n"/>
    </row>
    <row r="36" ht="28" customHeight="1">
      <c r="A36" s="23" t="inlineStr">
        <is>
          <t>25.0</t>
        </is>
      </c>
      <c r="B36" s="24" t="n"/>
      <c r="C36" s="24" t="inlineStr">
        <is>
          <t>↳  Add a room-specific item for this category (optional)</t>
        </is>
      </c>
      <c r="D36" s="21" t="n"/>
      <c r="E36" s="22" t="n"/>
    </row>
    <row r="37" ht="28" customHeight="1">
      <c r="A37" s="23" t="inlineStr">
        <is>
          <t>26.0</t>
        </is>
      </c>
      <c r="B37" s="24" t="n"/>
      <c r="C37" s="24" t="inlineStr">
        <is>
          <t>↳  Add a room-specific item for this category (optional)</t>
        </is>
      </c>
      <c r="D37" s="21" t="n"/>
      <c r="E37" s="22" t="n"/>
    </row>
    <row r="38" ht="18" customHeight="1">
      <c r="A38" s="18" t="inlineStr">
        <is>
          <t>◆  SUSTAIN</t>
        </is>
      </c>
    </row>
    <row r="39" ht="30" customHeight="1">
      <c r="A39" s="19" t="inlineStr">
        <is>
          <t>27.0</t>
        </is>
      </c>
      <c r="B39" s="20" t="inlineStr">
        <is>
          <t>Audit History</t>
        </is>
      </c>
      <c r="C39" s="20" t="inlineStr">
        <is>
          <t>Was a 6S audit conducted in this area within the past 2 months with results posted in the area?</t>
        </is>
      </c>
      <c r="D39" s="21" t="n"/>
      <c r="E39" s="22" t="n"/>
    </row>
    <row r="40" ht="30" customHeight="1">
      <c r="A40" s="19" t="inlineStr">
        <is>
          <t>28.0</t>
        </is>
      </c>
      <c r="B40" s="20" t="inlineStr">
        <is>
          <t>Prior Issues Resolved</t>
        </is>
      </c>
      <c r="C40" s="20" t="inlineStr">
        <is>
          <t>Have all items flagged in the previous audit been addressed and verified corrected?</t>
        </is>
      </c>
      <c r="D40" s="21" t="n"/>
      <c r="E40" s="22" t="n"/>
    </row>
    <row r="41" ht="30" customHeight="1">
      <c r="A41" s="19" t="inlineStr">
        <is>
          <t>29.0</t>
        </is>
      </c>
      <c r="B41" s="20" t="inlineStr">
        <is>
          <t>Standard Maintained</t>
        </is>
      </c>
      <c r="C41" s="20" t="inlineStr">
        <is>
          <t>Does the area look as organized as the posted visual standard?</t>
        </is>
      </c>
      <c r="D41" s="21" t="n"/>
      <c r="E41" s="22" t="n"/>
    </row>
    <row r="42" ht="30" customHeight="1">
      <c r="A42" s="19" t="inlineStr">
        <is>
          <t>30.0</t>
        </is>
      </c>
      <c r="B42" s="20" t="inlineStr">
        <is>
          <t>Staff Awareness</t>
        </is>
      </c>
      <c r="C42" s="20" t="inlineStr">
        <is>
          <t>Can staff explain the 6S system, their RACI responsibilities, and locate items without assistance?</t>
        </is>
      </c>
      <c r="D42" s="21" t="n"/>
      <c r="E42" s="22" t="n"/>
    </row>
    <row r="43" ht="28" customHeight="1">
      <c r="A43" s="23" t="inlineStr">
        <is>
          <t>31.0</t>
        </is>
      </c>
      <c r="B43" s="24" t="n"/>
      <c r="C43" s="24" t="inlineStr">
        <is>
          <t>↳  Add a room-specific item for this category (optional)</t>
        </is>
      </c>
      <c r="D43" s="21" t="n"/>
      <c r="E43" s="22" t="n"/>
    </row>
    <row r="44" ht="28" customHeight="1">
      <c r="A44" s="23" t="inlineStr">
        <is>
          <t>32.0</t>
        </is>
      </c>
      <c r="B44" s="24" t="n"/>
      <c r="C44" s="24" t="inlineStr">
        <is>
          <t>↳  Add a room-specific item for this category (optional)</t>
        </is>
      </c>
      <c r="D44" s="21" t="n"/>
      <c r="E44" s="22" t="n"/>
    </row>
    <row r="45" ht="18" customHeight="1">
      <c r="A45" s="18" t="inlineStr">
        <is>
          <t>◆  SAFETY</t>
        </is>
      </c>
    </row>
    <row r="46" ht="30" customHeight="1">
      <c r="A46" s="19" t="inlineStr">
        <is>
          <t>33.0</t>
        </is>
      </c>
      <c r="B46" s="20" t="inlineStr">
        <is>
          <t>Egress &amp; Emergency Access</t>
        </is>
      </c>
      <c r="C46" s="20" t="inlineStr">
        <is>
          <t>Are all emergency exits, aisles, fire extinguishers, and electrical panels completely clear and unobstructed?</t>
        </is>
      </c>
      <c r="D46" s="21" t="n"/>
      <c r="E46" s="22" t="n"/>
    </row>
    <row r="47" ht="30" customHeight="1">
      <c r="A47" s="19" t="inlineStr">
        <is>
          <t>34.0</t>
        </is>
      </c>
      <c r="B47" s="20" t="inlineStr">
        <is>
          <t>Safe Storage &amp; Stacking</t>
        </is>
      </c>
      <c r="C47" s="20" t="inlineStr">
        <is>
          <t>Are all items stored and stacked safely — no unstable loads, unsecured cylinders, or overhanging product?</t>
        </is>
      </c>
      <c r="D47" s="21" t="n"/>
      <c r="E47" s="22" t="n"/>
    </row>
    <row r="48" ht="30" customHeight="1">
      <c r="A48" s="19" t="inlineStr">
        <is>
          <t>35.0</t>
        </is>
      </c>
      <c r="B48" s="20" t="inlineStr">
        <is>
          <t>Hazard Controls</t>
        </is>
      </c>
      <c r="C48" s="20" t="inlineStr">
        <is>
          <t>Are machine safety zones marked, PPE requirements posted, and hazard controls in place?</t>
        </is>
      </c>
      <c r="D48" s="21" t="n"/>
      <c r="E48" s="22" t="n"/>
    </row>
    <row r="49" ht="30" customHeight="1">
      <c r="A49" s="19" t="inlineStr">
        <is>
          <t>36.0</t>
        </is>
      </c>
      <c r="B49" s="20" t="inlineStr">
        <is>
          <t>Fire Safety Equipment</t>
        </is>
      </c>
      <c r="C49" s="20" t="inlineStr">
        <is>
          <t>Is a fire extinguisher present, inspected within the past year, and unobstructed?</t>
        </is>
      </c>
      <c r="D49" s="21" t="n"/>
      <c r="E49" s="22" t="n"/>
    </row>
    <row r="50" ht="28" customHeight="1">
      <c r="A50" s="23" t="inlineStr">
        <is>
          <t>37.0</t>
        </is>
      </c>
      <c r="B50" s="24" t="n"/>
      <c r="C50" s="24" t="inlineStr">
        <is>
          <t>↳  Add a room-specific item for this category (optional)</t>
        </is>
      </c>
      <c r="D50" s="21" t="n"/>
      <c r="E50" s="22" t="n"/>
    </row>
    <row r="51" ht="28" customHeight="1">
      <c r="A51" s="23" t="inlineStr">
        <is>
          <t>38.0</t>
        </is>
      </c>
      <c r="B51" s="24" t="n"/>
      <c r="C51" s="24" t="inlineStr">
        <is>
          <t>↳  Add a room-specific item for this category (optional)</t>
        </is>
      </c>
      <c r="D51" s="21" t="n"/>
      <c r="E51" s="22" t="n"/>
    </row>
  </sheetData>
  <mergeCells count="10">
    <mergeCell ref="A30:E30"/>
    <mergeCell ref="A38:E38"/>
    <mergeCell ref="A2:E2"/>
    <mergeCell ref="B3:C3"/>
    <mergeCell ref="A15:E15"/>
    <mergeCell ref="A1:E1"/>
    <mergeCell ref="A23:E23"/>
    <mergeCell ref="A45:E45"/>
    <mergeCell ref="A8:E8"/>
    <mergeCell ref="B4:C4"/>
  </mergeCells>
  <dataValidations count="1">
    <dataValidation sqref="D9 D10 D11 D12 D13 D14 D16 D17 D18 D19 D20 D21 D22 D24 D25 D26 D27 D28 D29 D31 D32 D33 D34 D35 D36 D37 D39 D40 D41 D42 D43 D44 D46 D47 D48 D49 D50 D51" showDropDown="0" showInputMessage="0" showErrorMessage="1" allowBlank="1" errorTitle="Score 0–3" error="Enter a whole number 0–3." type="whole" operator="between">
      <formula1>0</formula1>
      <formula2>3</formula2>
    </dataValidation>
  </dataValidations>
  <pageMargins left="0.4" right="0.4" top="0.5" bottom="0.5" header="0.5" footer="0.5"/>
  <pageSetup orientation="portrait" fitToHeight="0" fitToWidth="1"/>
  <headerFooter>
    <oddHeader/>
    <oddFooter>&amp;L6S + Safety Audit&amp;RPage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51"/>
  <sheetViews>
    <sheetView showGridLines="0" workbookViewId="0">
      <selection activeCell="A1" sqref="A1"/>
    </sheetView>
  </sheetViews>
  <sheetFormatPr baseColWidth="8" defaultRowHeight="15"/>
  <cols>
    <col width="5" customWidth="1" min="1" max="1"/>
    <col width="24" customWidth="1" min="2" max="2"/>
    <col width="64" customWidth="1" min="3" max="3"/>
    <col width="11" customWidth="1" min="4" max="4"/>
    <col width="40" customWidth="1" min="5" max="5"/>
  </cols>
  <sheetData>
    <row r="1" ht="26" customHeight="1">
      <c r="A1" s="11" t="inlineStr">
        <is>
          <t>6S + SAFETY AUDIT  ·  WORKSHEET</t>
        </is>
      </c>
    </row>
    <row r="2" ht="18" customHeight="1">
      <c r="A2" s="12" t="inlineStr">
        <is>
          <t>0 = Major Issue      1 = Needs Work      2 = Good      3 = Excellent      |      Comment required for any score below 2</t>
        </is>
      </c>
    </row>
    <row r="3">
      <c r="A3" s="13" t="inlineStr">
        <is>
          <t>Location:</t>
        </is>
      </c>
      <c r="B3" s="5">
        <f>'Start Here'!$B$3</f>
        <v/>
      </c>
      <c r="D3" s="13" t="inlineStr">
        <is>
          <t>Date:</t>
        </is>
      </c>
      <c r="E3" s="5" t="n"/>
    </row>
    <row r="4">
      <c r="A4" s="13" t="inlineStr">
        <is>
          <t>Room / Area:</t>
        </is>
      </c>
      <c r="B4" s="14" t="n"/>
      <c r="D4" s="13" t="inlineStr">
        <is>
          <t>Auditor:</t>
        </is>
      </c>
      <c r="E4" s="5" t="n"/>
    </row>
    <row r="5" ht="16" customHeight="1">
      <c r="A5" s="15" t="inlineStr">
        <is>
          <t>Total Score</t>
        </is>
      </c>
      <c r="B5" s="15" t="inlineStr">
        <is>
          <t>Max Possible</t>
        </is>
      </c>
      <c r="C5" s="15" t="inlineStr">
        <is>
          <t>Score %</t>
        </is>
      </c>
      <c r="D5" s="15" t="inlineStr">
        <is>
          <t># of Zeros</t>
        </is>
      </c>
      <c r="E5" s="15" t="inlineStr">
        <is>
          <t>RESULT</t>
        </is>
      </c>
    </row>
    <row r="6">
      <c r="A6" s="16">
        <f>SUM(D9:D51)</f>
        <v/>
      </c>
      <c r="B6" s="16">
        <f>COUNT(D9:D51)*3</f>
        <v/>
      </c>
      <c r="C6" s="16">
        <f>IF(COUNT(D9:D51)=0,"",ROUND(SUM(D9:D51)/(COUNT(D9:D51)*3)*100,1))</f>
        <v/>
      </c>
      <c r="D6" s="16">
        <f>COUNTIF(D9:D51,0)</f>
        <v/>
      </c>
      <c r="E6" s="16">
        <f>IF(COUNT(D9:D51)=0,"",IF(AND(SUM(D9:D51)/(COUNT(D9:D51)*3)*100&gt;=67,COUNTIF(D9:D51,0)=0),"✔ PASS","✘ FAIL"))</f>
        <v/>
      </c>
    </row>
    <row r="7" ht="28" customHeight="1">
      <c r="A7" s="17" t="inlineStr">
        <is>
          <t>No.</t>
        </is>
      </c>
      <c r="B7" s="17" t="inlineStr">
        <is>
          <t>Check Item</t>
        </is>
      </c>
      <c r="C7" s="17" t="inlineStr">
        <is>
          <t>Description / Audit Question</t>
        </is>
      </c>
      <c r="D7" s="17" t="inlineStr">
        <is>
          <t>Total Score
(0–3)</t>
        </is>
      </c>
      <c r="E7" s="17" t="inlineStr">
        <is>
          <t>Comments  (required if score &lt; 2)</t>
        </is>
      </c>
    </row>
    <row r="8" ht="18" customHeight="1">
      <c r="A8" s="18" t="inlineStr">
        <is>
          <t>◆  SORT</t>
        </is>
      </c>
    </row>
    <row r="9" ht="30" customHeight="1">
      <c r="A9" s="19" t="inlineStr">
        <is>
          <t>1.0</t>
        </is>
      </c>
      <c r="B9" s="20" t="inlineStr">
        <is>
          <t>Necessary Items Only</t>
        </is>
      </c>
      <c r="C9" s="20" t="inlineStr">
        <is>
          <t>Is the area free of obsolete, expired, surplus, damaged, or unidentifiable materials, parts, and product?</t>
        </is>
      </c>
      <c r="D9" s="21" t="n"/>
      <c r="E9" s="22" t="n"/>
    </row>
    <row r="10" ht="30" customHeight="1">
      <c r="A10" s="19" t="inlineStr">
        <is>
          <t>2.0</t>
        </is>
      </c>
      <c r="B10" s="20" t="inlineStr">
        <is>
          <t>Personal Belongings</t>
        </is>
      </c>
      <c r="C10" s="20" t="inlineStr">
        <is>
          <t>Are personal belongings (clothing, bags, appliances, decorative items) absent from the work area?</t>
        </is>
      </c>
      <c r="D10" s="21" t="n"/>
      <c r="E10" s="22" t="n"/>
    </row>
    <row r="11" ht="30" customHeight="1">
      <c r="A11" s="19" t="inlineStr">
        <is>
          <t>3.0</t>
        </is>
      </c>
      <c r="B11" s="20" t="inlineStr">
        <is>
          <t>Non-Area Items</t>
        </is>
      </c>
      <c r="C11" s="20" t="inlineStr">
        <is>
          <t>Is the area free of items that don't belong — scrap in wrong zones, furniture, unrelated equipment?</t>
        </is>
      </c>
      <c r="D11" s="21" t="n"/>
      <c r="E11" s="22" t="n"/>
    </row>
    <row r="12" ht="30" customHeight="1">
      <c r="A12" s="19" t="inlineStr">
        <is>
          <t>4.0</t>
        </is>
      </c>
      <c r="B12" s="20" t="inlineStr">
        <is>
          <t>Hazardous / Special Items</t>
        </is>
      </c>
      <c r="C12" s="20" t="inlineStr">
        <is>
          <t>Are combustible equipment, unsecured gas cylinders, and damaged materials removed or properly designated?</t>
        </is>
      </c>
      <c r="D12" s="21" t="n"/>
      <c r="E12" s="22" t="n"/>
    </row>
    <row r="13" ht="28" customHeight="1">
      <c r="A13" s="23" t="inlineStr">
        <is>
          <t>5.0</t>
        </is>
      </c>
      <c r="B13" s="24" t="n"/>
      <c r="C13" s="24" t="inlineStr">
        <is>
          <t>↳  Add a room-specific item for this category (optional)</t>
        </is>
      </c>
      <c r="D13" s="21" t="n"/>
      <c r="E13" s="22" t="n"/>
    </row>
    <row r="14" ht="28" customHeight="1">
      <c r="A14" s="23" t="inlineStr">
        <is>
          <t>6.0</t>
        </is>
      </c>
      <c r="B14" s="24" t="n"/>
      <c r="C14" s="24" t="inlineStr">
        <is>
          <t>↳  Add a room-specific item for this category (optional)</t>
        </is>
      </c>
      <c r="D14" s="21" t="n"/>
      <c r="E14" s="22" t="n"/>
    </row>
    <row r="15" ht="18" customHeight="1">
      <c r="A15" s="18" t="inlineStr">
        <is>
          <t>◆  SET IN ORDER</t>
        </is>
      </c>
    </row>
    <row r="16" ht="30" customHeight="1">
      <c r="A16" s="19" t="inlineStr">
        <is>
          <t>7.0</t>
        </is>
      </c>
      <c r="B16" s="20" t="inlineStr">
        <is>
          <t>Location Labels</t>
        </is>
      </c>
      <c r="C16" s="20" t="inlineStr">
        <is>
          <t>Do all storage locations (shelves, bins, rack bays, zones) have clear, consistent, readable labels?</t>
        </is>
      </c>
      <c r="D16" s="21" t="n"/>
      <c r="E16" s="22" t="n"/>
    </row>
    <row r="17" ht="30" customHeight="1">
      <c r="A17" s="19" t="inlineStr">
        <is>
          <t>8.0</t>
        </is>
      </c>
      <c r="B17" s="20" t="inlineStr">
        <is>
          <t>Items in Correct Location</t>
        </is>
      </c>
      <c r="C17" s="20" t="inlineStr">
        <is>
          <t>Are all items stored in their labeled designated location — nothing ad-hoc or on the floor without reason?</t>
        </is>
      </c>
      <c r="D17" s="21" t="n"/>
      <c r="E17" s="22" t="n"/>
    </row>
    <row r="18" ht="30" customHeight="1">
      <c r="A18" s="19" t="inlineStr">
        <is>
          <t>9.0</t>
        </is>
      </c>
      <c r="B18" s="20" t="inlineStr">
        <is>
          <t>Aisle &amp; Floor Clearance</t>
        </is>
      </c>
      <c r="C18" s="20" t="inlineStr">
        <is>
          <t>Are all aisles, pedestrian lanes, and floor areas clear — nothing blocking traffic flow or emergency egress?</t>
        </is>
      </c>
      <c r="D18" s="21" t="n"/>
      <c r="E18" s="22" t="n"/>
    </row>
    <row r="19" ht="30" customHeight="1">
      <c r="A19" s="19" t="inlineStr">
        <is>
          <t>10.0</t>
        </is>
      </c>
      <c r="B19" s="20" t="inlineStr">
        <is>
          <t>Equipment Parking</t>
        </is>
      </c>
      <c r="C19" s="20" t="inlineStr">
        <is>
          <t>Does all material-handling equipment (pallet jack, hand truck, ladders) have a designated home and is it stored there?</t>
        </is>
      </c>
      <c r="D19" s="21" t="n"/>
      <c r="E19" s="22" t="n"/>
    </row>
    <row r="20" ht="30" customHeight="1">
      <c r="A20" s="19" t="inlineStr">
        <is>
          <t>11.0</t>
        </is>
      </c>
      <c r="B20" s="20" t="inlineStr">
        <is>
          <t>Zone Definition</t>
        </is>
      </c>
      <c r="C20" s="20" t="inlineStr">
        <is>
          <t>Are distinct operational zones (staging, receiving, shipping, storage) clearly defined and marked?</t>
        </is>
      </c>
      <c r="D20" s="21" t="n"/>
      <c r="E20" s="22" t="n"/>
    </row>
    <row r="21" ht="28" customHeight="1">
      <c r="A21" s="23" t="inlineStr">
        <is>
          <t>12.0</t>
        </is>
      </c>
      <c r="B21" s="25" t="inlineStr">
        <is>
          <t>Rack Bay Labels</t>
        </is>
      </c>
      <c r="C21" s="24" t="n"/>
      <c r="D21" s="21" t="n"/>
      <c r="E21" s="22" t="n"/>
    </row>
    <row r="22" ht="28" customHeight="1">
      <c r="A22" s="23" t="inlineStr">
        <is>
          <t>13.0</t>
        </is>
      </c>
      <c r="B22" s="25" t="inlineStr">
        <is>
          <t>Lineset &amp; Flex Duct Storage</t>
        </is>
      </c>
      <c r="C22" s="24" t="n"/>
      <c r="D22" s="21" t="n"/>
      <c r="E22" s="22" t="n"/>
    </row>
    <row r="23" ht="18" customHeight="1">
      <c r="A23" s="18" t="inlineStr">
        <is>
          <t>◆  SHINE</t>
        </is>
      </c>
    </row>
    <row r="24" ht="30" customHeight="1">
      <c r="A24" s="19" t="inlineStr">
        <is>
          <t>14.0</t>
        </is>
      </c>
      <c r="B24" s="20" t="inlineStr">
        <is>
          <t>Floor Cleanliness</t>
        </is>
      </c>
      <c r="C24" s="20" t="inlineStr">
        <is>
          <t>Are all floors clean and free of debris, dust, shavings, scraps, cardboard, and staining?</t>
        </is>
      </c>
      <c r="D24" s="21" t="n"/>
      <c r="E24" s="22" t="n"/>
    </row>
    <row r="25" ht="30" customHeight="1">
      <c r="A25" s="19" t="inlineStr">
        <is>
          <t>15.0</t>
        </is>
      </c>
      <c r="B25" s="20" t="inlineStr">
        <is>
          <t>Surfaces &amp; Equipment</t>
        </is>
      </c>
      <c r="C25" s="20" t="inlineStr">
        <is>
          <t>Are shelving, work surfaces, bins, machines, and rack uprights clean and free of grime, dust, and oil?</t>
        </is>
      </c>
      <c r="D25" s="21" t="n"/>
      <c r="E25" s="22" t="n"/>
    </row>
    <row r="26" ht="30" customHeight="1">
      <c r="A26" s="19" t="inlineStr">
        <is>
          <t>16.0</t>
        </is>
      </c>
      <c r="B26" s="20" t="inlineStr">
        <is>
          <t>Waste &amp; Cardboard Disposal</t>
        </is>
      </c>
      <c r="C26" s="20" t="inlineStr">
        <is>
          <t>Is waste disposed of promptly — bins not overflowing, cardboard broken down, packaging cleared daily?</t>
        </is>
      </c>
      <c r="D26" s="21" t="n"/>
      <c r="E26" s="22" t="n"/>
    </row>
    <row r="27" ht="30" customHeight="1">
      <c r="A27" s="19" t="inlineStr">
        <is>
          <t>17.0</t>
        </is>
      </c>
      <c r="B27" s="20" t="inlineStr">
        <is>
          <t>Facility Condition</t>
        </is>
      </c>
      <c r="C27" s="20" t="inlineStr">
        <is>
          <t>Are facilities in good condition — no damaged shelving, burned-out lights, water stains, or exposed wiring?</t>
        </is>
      </c>
      <c r="D27" s="21" t="n"/>
      <c r="E27" s="22" t="n"/>
    </row>
    <row r="28" ht="28" customHeight="1">
      <c r="A28" s="23" t="inlineStr">
        <is>
          <t>18.0</t>
        </is>
      </c>
      <c r="B28" s="25" t="inlineStr">
        <is>
          <t>Dock / Door Area</t>
        </is>
      </c>
      <c r="C28" s="24" t="n"/>
      <c r="D28" s="21" t="n"/>
      <c r="E28" s="22" t="n"/>
    </row>
    <row r="29" ht="28" customHeight="1">
      <c r="A29" s="23" t="inlineStr">
        <is>
          <t>19.0</t>
        </is>
      </c>
      <c r="B29" s="24" t="n"/>
      <c r="C29" s="24" t="inlineStr">
        <is>
          <t>↳  Add a room-specific item for this category (optional)</t>
        </is>
      </c>
      <c r="D29" s="21" t="n"/>
      <c r="E29" s="22" t="n"/>
    </row>
    <row r="30" ht="18" customHeight="1">
      <c r="A30" s="18" t="inlineStr">
        <is>
          <t>◆  STANDARDIZE</t>
        </is>
      </c>
    </row>
    <row r="31" ht="30" customHeight="1">
      <c r="A31" s="19" t="inlineStr">
        <is>
          <t>20.0</t>
        </is>
      </c>
      <c r="B31" s="20" t="inlineStr">
        <is>
          <t>RACI Posted</t>
        </is>
      </c>
      <c r="C31" s="20" t="inlineStr">
        <is>
          <t>Is a current 6S RACI chart clearly posted in the area, identifying the responsible party for each S-category?</t>
        </is>
      </c>
      <c r="D31" s="21" t="n"/>
      <c r="E31" s="22" t="n"/>
    </row>
    <row r="32" ht="30" customHeight="1">
      <c r="A32" s="19" t="inlineStr">
        <is>
          <t>21.0</t>
        </is>
      </c>
      <c r="B32" s="20" t="inlineStr">
        <is>
          <t>Visual Layout / Zone Map</t>
        </is>
      </c>
      <c r="C32" s="20" t="inlineStr">
        <is>
          <t>Is a visual layout or zone map posted showing the correct 6S organization?</t>
        </is>
      </c>
      <c r="D32" s="21" t="n"/>
      <c r="E32" s="22" t="n"/>
    </row>
    <row r="33" ht="30" customHeight="1">
      <c r="A33" s="19" t="inlineStr">
        <is>
          <t>22.0</t>
        </is>
      </c>
      <c r="B33" s="20" t="inlineStr">
        <is>
          <t>Min / Max Inventory Levels</t>
        </is>
      </c>
      <c r="C33" s="20" t="inlineStr">
        <is>
          <t>Are minimum and maximum stock levels indicated for key inventory where applicable?</t>
        </is>
      </c>
      <c r="D33" s="21" t="n"/>
      <c r="E33" s="22" t="n"/>
    </row>
    <row r="34" ht="30" customHeight="1">
      <c r="A34" s="19" t="inlineStr">
        <is>
          <t>23.0</t>
        </is>
      </c>
      <c r="B34" s="20" t="inlineStr">
        <is>
          <t>Label Consistency</t>
        </is>
      </c>
      <c r="C34" s="20" t="inlineStr">
        <is>
          <t>Is the labeling system consistent — matching format, font, and location-coding standard?</t>
        </is>
      </c>
      <c r="D34" s="21" t="n"/>
      <c r="E34" s="22" t="n"/>
    </row>
    <row r="35" ht="30" customHeight="1">
      <c r="A35" s="19" t="inlineStr">
        <is>
          <t>24.0</t>
        </is>
      </c>
      <c r="B35" s="20" t="inlineStr">
        <is>
          <t>SOPs &amp; Work References</t>
        </is>
      </c>
      <c r="C35" s="20" t="inlineStr">
        <is>
          <t>Are SOPs, machine instructions, and work references posted at the point of use?</t>
        </is>
      </c>
      <c r="D35" s="21" t="n"/>
      <c r="E35" s="22" t="n"/>
    </row>
    <row r="36" ht="28" customHeight="1">
      <c r="A36" s="23" t="inlineStr">
        <is>
          <t>25.0</t>
        </is>
      </c>
      <c r="B36" s="24" t="n"/>
      <c r="C36" s="24" t="inlineStr">
        <is>
          <t>↳  Add a room-specific item for this category (optional)</t>
        </is>
      </c>
      <c r="D36" s="21" t="n"/>
      <c r="E36" s="22" t="n"/>
    </row>
    <row r="37" ht="28" customHeight="1">
      <c r="A37" s="23" t="inlineStr">
        <is>
          <t>26.0</t>
        </is>
      </c>
      <c r="B37" s="24" t="n"/>
      <c r="C37" s="24" t="inlineStr">
        <is>
          <t>↳  Add a room-specific item for this category (optional)</t>
        </is>
      </c>
      <c r="D37" s="21" t="n"/>
      <c r="E37" s="22" t="n"/>
    </row>
    <row r="38" ht="18" customHeight="1">
      <c r="A38" s="18" t="inlineStr">
        <is>
          <t>◆  SUSTAIN</t>
        </is>
      </c>
    </row>
    <row r="39" ht="30" customHeight="1">
      <c r="A39" s="19" t="inlineStr">
        <is>
          <t>27.0</t>
        </is>
      </c>
      <c r="B39" s="20" t="inlineStr">
        <is>
          <t>Audit History</t>
        </is>
      </c>
      <c r="C39" s="20" t="inlineStr">
        <is>
          <t>Was a 6S audit conducted in this area within the past 2 months with results posted in the area?</t>
        </is>
      </c>
      <c r="D39" s="21" t="n"/>
      <c r="E39" s="22" t="n"/>
    </row>
    <row r="40" ht="30" customHeight="1">
      <c r="A40" s="19" t="inlineStr">
        <is>
          <t>28.0</t>
        </is>
      </c>
      <c r="B40" s="20" t="inlineStr">
        <is>
          <t>Prior Issues Resolved</t>
        </is>
      </c>
      <c r="C40" s="20" t="inlineStr">
        <is>
          <t>Have all items flagged in the previous audit been addressed and verified corrected?</t>
        </is>
      </c>
      <c r="D40" s="21" t="n"/>
      <c r="E40" s="22" t="n"/>
    </row>
    <row r="41" ht="30" customHeight="1">
      <c r="A41" s="19" t="inlineStr">
        <is>
          <t>29.0</t>
        </is>
      </c>
      <c r="B41" s="20" t="inlineStr">
        <is>
          <t>Standard Maintained</t>
        </is>
      </c>
      <c r="C41" s="20" t="inlineStr">
        <is>
          <t>Does the area look as organized as the posted visual standard?</t>
        </is>
      </c>
      <c r="D41" s="21" t="n"/>
      <c r="E41" s="22" t="n"/>
    </row>
    <row r="42" ht="30" customHeight="1">
      <c r="A42" s="19" t="inlineStr">
        <is>
          <t>30.0</t>
        </is>
      </c>
      <c r="B42" s="20" t="inlineStr">
        <is>
          <t>Staff Awareness</t>
        </is>
      </c>
      <c r="C42" s="20" t="inlineStr">
        <is>
          <t>Can staff explain the 6S system, their RACI responsibilities, and locate items without assistance?</t>
        </is>
      </c>
      <c r="D42" s="21" t="n"/>
      <c r="E42" s="22" t="n"/>
    </row>
    <row r="43" ht="28" customHeight="1">
      <c r="A43" s="23" t="inlineStr">
        <is>
          <t>31.0</t>
        </is>
      </c>
      <c r="B43" s="24" t="n"/>
      <c r="C43" s="24" t="inlineStr">
        <is>
          <t>↳  Add a room-specific item for this category (optional)</t>
        </is>
      </c>
      <c r="D43" s="21" t="n"/>
      <c r="E43" s="22" t="n"/>
    </row>
    <row r="44" ht="28" customHeight="1">
      <c r="A44" s="23" t="inlineStr">
        <is>
          <t>32.0</t>
        </is>
      </c>
      <c r="B44" s="24" t="n"/>
      <c r="C44" s="24" t="inlineStr">
        <is>
          <t>↳  Add a room-specific item for this category (optional)</t>
        </is>
      </c>
      <c r="D44" s="21" t="n"/>
      <c r="E44" s="22" t="n"/>
    </row>
    <row r="45" ht="18" customHeight="1">
      <c r="A45" s="18" t="inlineStr">
        <is>
          <t>◆  SAFETY</t>
        </is>
      </c>
    </row>
    <row r="46" ht="30" customHeight="1">
      <c r="A46" s="19" t="inlineStr">
        <is>
          <t>33.0</t>
        </is>
      </c>
      <c r="B46" s="20" t="inlineStr">
        <is>
          <t>Egress &amp; Emergency Access</t>
        </is>
      </c>
      <c r="C46" s="20" t="inlineStr">
        <is>
          <t>Are all emergency exits, aisles, fire extinguishers, and electrical panels completely clear and unobstructed?</t>
        </is>
      </c>
      <c r="D46" s="21" t="n"/>
      <c r="E46" s="22" t="n"/>
    </row>
    <row r="47" ht="30" customHeight="1">
      <c r="A47" s="19" t="inlineStr">
        <is>
          <t>34.0</t>
        </is>
      </c>
      <c r="B47" s="20" t="inlineStr">
        <is>
          <t>Safe Storage &amp; Stacking</t>
        </is>
      </c>
      <c r="C47" s="20" t="inlineStr">
        <is>
          <t>Are all items stored and stacked safely — no unstable loads, unsecured cylinders, or overhanging product?</t>
        </is>
      </c>
      <c r="D47" s="21" t="n"/>
      <c r="E47" s="22" t="n"/>
    </row>
    <row r="48" ht="30" customHeight="1">
      <c r="A48" s="19" t="inlineStr">
        <is>
          <t>35.0</t>
        </is>
      </c>
      <c r="B48" s="20" t="inlineStr">
        <is>
          <t>Hazard Controls</t>
        </is>
      </c>
      <c r="C48" s="20" t="inlineStr">
        <is>
          <t>Are machine safety zones marked, PPE requirements posted, and hazard controls in place?</t>
        </is>
      </c>
      <c r="D48" s="21" t="n"/>
      <c r="E48" s="22" t="n"/>
    </row>
    <row r="49" ht="30" customHeight="1">
      <c r="A49" s="19" t="inlineStr">
        <is>
          <t>36.0</t>
        </is>
      </c>
      <c r="B49" s="20" t="inlineStr">
        <is>
          <t>Fire Safety Equipment</t>
        </is>
      </c>
      <c r="C49" s="20" t="inlineStr">
        <is>
          <t>Is a fire extinguisher present, inspected within the past year, and unobstructed?</t>
        </is>
      </c>
      <c r="D49" s="21" t="n"/>
      <c r="E49" s="22" t="n"/>
    </row>
    <row r="50" ht="28" customHeight="1">
      <c r="A50" s="23" t="inlineStr">
        <is>
          <t>37.0</t>
        </is>
      </c>
      <c r="B50" s="25" t="inlineStr">
        <is>
          <t>Refrigerant Cylinder Compliance</t>
        </is>
      </c>
      <c r="C50" s="24" t="n"/>
      <c r="D50" s="21" t="n"/>
      <c r="E50" s="22" t="n"/>
    </row>
    <row r="51" ht="28" customHeight="1">
      <c r="A51" s="23" t="inlineStr">
        <is>
          <t>38.0</t>
        </is>
      </c>
      <c r="B51" s="25" t="inlineStr">
        <is>
          <t>Forklift / Pedestrian Lane Separation</t>
        </is>
      </c>
      <c r="C51" s="24" t="n"/>
      <c r="D51" s="21" t="n"/>
      <c r="E51" s="22" t="n"/>
    </row>
  </sheetData>
  <mergeCells count="10">
    <mergeCell ref="A30:E30"/>
    <mergeCell ref="A38:E38"/>
    <mergeCell ref="A2:E2"/>
    <mergeCell ref="B3:C3"/>
    <mergeCell ref="A15:E15"/>
    <mergeCell ref="A1:E1"/>
    <mergeCell ref="A23:E23"/>
    <mergeCell ref="A45:E45"/>
    <mergeCell ref="A8:E8"/>
    <mergeCell ref="B4:C4"/>
  </mergeCells>
  <dataValidations count="1">
    <dataValidation sqref="D9 D10 D11 D12 D13 D14 D16 D17 D18 D19 D20 D21 D22 D24 D25 D26 D27 D28 D29 D31 D32 D33 D34 D35 D36 D37 D39 D40 D41 D42 D43 D44 D46 D47 D48 D49 D50 D51" showDropDown="0" showInputMessage="0" showErrorMessage="1" allowBlank="1" errorTitle="Score 0–3" error="Enter a whole number 0–3." type="whole" operator="between">
      <formula1>0</formula1>
      <formula2>3</formula2>
    </dataValidation>
  </dataValidations>
  <pageMargins left="0.4" right="0.4" top="0.5" bottom="0.5" header="0.5" footer="0.5"/>
  <pageSetup orientation="portrait" fitToHeight="0" fitToWidth="1"/>
  <headerFooter>
    <oddHeader/>
    <oddFooter>&amp;L6S + Safety Audit&amp;RPage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22"/>
  <sheetViews>
    <sheetView showGridLines="0" workbookViewId="0">
      <selection activeCell="A1" sqref="A1"/>
    </sheetView>
  </sheetViews>
  <sheetFormatPr baseColWidth="8" defaultRowHeight="15"/>
  <cols>
    <col width="28" customWidth="1" min="1" max="1"/>
    <col width="16" customWidth="1" min="2" max="2"/>
    <col width="12" customWidth="1" min="3" max="3"/>
    <col width="14" customWidth="1" min="4" max="4"/>
    <col width="44" customWidth="1" min="5" max="5"/>
  </cols>
  <sheetData>
    <row r="1" ht="26" customHeight="1">
      <c r="A1" s="11" t="inlineStr">
        <is>
          <t>FACILITY 6S SUMMARY</t>
        </is>
      </c>
    </row>
    <row r="2">
      <c r="A2" s="13" t="inlineStr">
        <is>
          <t>Location:</t>
        </is>
      </c>
      <c r="B2" s="26">
        <f>'Start Here'!$B$3</f>
        <v/>
      </c>
      <c r="D2" s="13" t="inlineStr">
        <is>
          <t>Audit Period:</t>
        </is>
      </c>
      <c r="E2" s="26">
        <f>'Start Here'!$C$5</f>
        <v/>
      </c>
    </row>
    <row r="4">
      <c r="A4" s="27" t="inlineStr">
        <is>
          <t>Area / Room</t>
        </is>
      </c>
      <c r="B4" s="27" t="inlineStr">
        <is>
          <t>Date Audited</t>
        </is>
      </c>
      <c r="C4" s="27" t="inlineStr">
        <is>
          <t>Score %</t>
        </is>
      </c>
      <c r="D4" s="27" t="inlineStr">
        <is>
          <t>Result</t>
        </is>
      </c>
      <c r="E4" s="27" t="inlineStr">
        <is>
          <t>Notes / Open Items</t>
        </is>
      </c>
    </row>
    <row r="5" ht="22" customHeight="1">
      <c r="A5" s="5" t="n"/>
      <c r="B5" s="5" t="n"/>
      <c r="C5" s="5" t="n"/>
      <c r="D5" s="5" t="n"/>
      <c r="E5" s="5" t="n"/>
    </row>
    <row r="6" ht="22" customHeight="1">
      <c r="A6" s="5" t="n"/>
      <c r="B6" s="5" t="n"/>
      <c r="C6" s="5" t="n"/>
      <c r="D6" s="5" t="n"/>
      <c r="E6" s="5" t="n"/>
    </row>
    <row r="7" ht="22" customHeight="1">
      <c r="A7" s="5" t="n"/>
      <c r="B7" s="5" t="n"/>
      <c r="C7" s="5" t="n"/>
      <c r="D7" s="5" t="n"/>
      <c r="E7" s="5" t="n"/>
    </row>
    <row r="8" ht="22" customHeight="1">
      <c r="A8" s="5" t="n"/>
      <c r="B8" s="5" t="n"/>
      <c r="C8" s="5" t="n"/>
      <c r="D8" s="5" t="n"/>
      <c r="E8" s="5" t="n"/>
    </row>
    <row r="9" ht="22" customHeight="1">
      <c r="A9" s="5" t="n"/>
      <c r="B9" s="5" t="n"/>
      <c r="C9" s="5" t="n"/>
      <c r="D9" s="5" t="n"/>
      <c r="E9" s="5" t="n"/>
    </row>
    <row r="10" ht="22" customHeight="1">
      <c r="A10" s="5" t="n"/>
      <c r="B10" s="5" t="n"/>
      <c r="C10" s="5" t="n"/>
      <c r="D10" s="5" t="n"/>
      <c r="E10" s="5" t="n"/>
    </row>
    <row r="11" ht="22" customHeight="1">
      <c r="A11" s="5" t="n"/>
      <c r="B11" s="5" t="n"/>
      <c r="C11" s="5" t="n"/>
      <c r="D11" s="5" t="n"/>
      <c r="E11" s="5" t="n"/>
    </row>
    <row r="12" ht="22" customHeight="1">
      <c r="A12" s="5" t="n"/>
      <c r="B12" s="5" t="n"/>
      <c r="C12" s="5" t="n"/>
      <c r="D12" s="5" t="n"/>
      <c r="E12" s="5" t="n"/>
    </row>
    <row r="13" ht="22" customHeight="1">
      <c r="A13" s="5" t="n"/>
      <c r="B13" s="5" t="n"/>
      <c r="C13" s="5" t="n"/>
      <c r="D13" s="5" t="n"/>
      <c r="E13" s="5" t="n"/>
    </row>
    <row r="14" ht="22" customHeight="1">
      <c r="A14" s="5" t="n"/>
      <c r="B14" s="5" t="n"/>
      <c r="C14" s="5" t="n"/>
      <c r="D14" s="5" t="n"/>
      <c r="E14" s="5" t="n"/>
    </row>
    <row r="15" ht="22" customHeight="1">
      <c r="A15" s="5" t="n"/>
      <c r="B15" s="5" t="n"/>
      <c r="C15" s="5" t="n"/>
      <c r="D15" s="5" t="n"/>
      <c r="E15" s="5" t="n"/>
    </row>
    <row r="16" ht="22" customHeight="1">
      <c r="A16" s="5" t="n"/>
      <c r="B16" s="5" t="n"/>
      <c r="C16" s="5" t="n"/>
      <c r="D16" s="5" t="n"/>
      <c r="E16" s="5" t="n"/>
    </row>
    <row r="17" ht="22" customHeight="1">
      <c r="A17" s="5" t="n"/>
      <c r="B17" s="5" t="n"/>
      <c r="C17" s="5" t="n"/>
      <c r="D17" s="5" t="n"/>
      <c r="E17" s="5" t="n"/>
    </row>
    <row r="18" ht="22" customHeight="1">
      <c r="A18" s="5" t="n"/>
      <c r="B18" s="5" t="n"/>
      <c r="C18" s="5" t="n"/>
      <c r="D18" s="5" t="n"/>
      <c r="E18" s="5" t="n"/>
    </row>
    <row r="19" ht="22" customHeight="1">
      <c r="A19" s="5" t="n"/>
      <c r="B19" s="5" t="n"/>
      <c r="C19" s="5" t="n"/>
      <c r="D19" s="5" t="n"/>
      <c r="E19" s="5" t="n"/>
    </row>
    <row r="20" ht="22" customHeight="1">
      <c r="A20" s="5" t="n"/>
      <c r="B20" s="5" t="n"/>
      <c r="C20" s="5" t="n"/>
      <c r="D20" s="5" t="n"/>
      <c r="E20" s="5" t="n"/>
    </row>
    <row r="22">
      <c r="A22" s="28" t="inlineStr">
        <is>
          <t>Facility Pass = every audited room scores ≥ 67% with no zeros.</t>
        </is>
      </c>
    </row>
  </sheetData>
  <mergeCells count="1">
    <mergeCell ref="A1:E1"/>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2026-06-11T13:00:31Z</dcterms:created>
  <dcterms:modified xsi:type="dcterms:W3CDTF">2026-06-11T13:00:31Z</dcterms:modified>
</cp:coreProperties>
</file>